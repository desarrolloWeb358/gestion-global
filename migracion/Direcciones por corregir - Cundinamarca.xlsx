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arrolloWeb358\gestion-global\migracion\"/>
    </mc:Choice>
  </mc:AlternateContent>
  <xr:revisionPtr revIDLastSave="0" documentId="13_ncr:1_{A3F7EF7F-60C5-4019-BA3C-EC8E9CD2AF3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ciones" sheetId="1" r:id="rId1"/>
    <sheet name="Direcciones" sheetId="2" r:id="rId2"/>
  </sheets>
  <definedNames>
    <definedName name="_xlnm._FilterDatabase" localSheetId="1" hidden="1">Direcciones!$A$4:$K$29</definedName>
  </definedNames>
  <calcPr calcId="191029"/>
</workbook>
</file>

<file path=xl/calcChain.xml><?xml version="1.0" encoding="utf-8"?>
<calcChain xmlns="http://schemas.openxmlformats.org/spreadsheetml/2006/main">
  <c r="B11" i="1" l="1"/>
  <c r="B10" i="1"/>
  <c r="B8" i="1"/>
  <c r="B7" i="1"/>
  <c r="B6" i="1"/>
  <c r="B5" i="1"/>
  <c r="B9" i="1" s="1"/>
</calcChain>
</file>

<file path=xl/sharedStrings.xml><?xml version="1.0" encoding="utf-8"?>
<sst xmlns="http://schemas.openxmlformats.org/spreadsheetml/2006/main" count="327" uniqueCount="159">
  <si>
    <t>Direcciones por corregir · Franquicia Cundinamarca</t>
  </si>
  <si>
    <t>Análisis de ubicación en Google Maps de los 133 conjuntos activos (30/09/2026). 108 quedaron bien; estos 25 necesitan revisión.</t>
  </si>
  <si>
    <t>Avance</t>
  </si>
  <si>
    <t>Total de conjuntos</t>
  </si>
  <si>
    <t>Corregidos</t>
  </si>
  <si>
    <t>No se pudo</t>
  </si>
  <si>
    <t>Pendientes</t>
  </si>
  <si>
    <t>Pendientes · Por confirmar</t>
  </si>
  <si>
    <t>Pendientes · Sin ubicación</t>
  </si>
  <si>
    <t>Cómo corregir cada uno</t>
  </si>
  <si>
    <t>1. Confirme la dirección de la portería principal con la administración del conjunto (llamada, correo, factura o certificado).</t>
  </si>
  <si>
    <t>2. En el sistema entre a Clientes, busque el conjunto y abra Editar cliente.</t>
  </si>
  <si>
    <t>3. Corrija el campo Dirección y, si hace falta, el campo Ciudad. Guarde. El mapa se actualiza solo en unos segundos.</t>
  </si>
  <si>
    <t>4. En la hoja «Direcciones» llene las columnas amarillas: Estado, Dirección corregida, Ciudad corregida, Fecha, Responsable y Observaciones.</t>
  </si>
  <si>
    <t>5. Si no consigue la dirección o Google tampoco la encuentra, marque «No se pudo» y explique en Observaciones. Juan Pablo lo ubica a mano en el mapa.</t>
  </si>
  <si>
    <t>Qué llenar en la hoja «Direcciones»</t>
  </si>
  <si>
    <t>Estado</t>
  </si>
  <si>
    <t>Pendiente · Corregido · No se pudo</t>
  </si>
  <si>
    <t>Lista desplegable. Todas arrancan en Pendiente.</t>
  </si>
  <si>
    <t>Dirección corregida</t>
  </si>
  <si>
    <t>La dirección tal como quedó en el sistema</t>
  </si>
  <si>
    <t>Vacía si no cambió.</t>
  </si>
  <si>
    <t>Ciudad corregida</t>
  </si>
  <si>
    <t>Una de las 6 ciudades de la franquicia</t>
  </si>
  <si>
    <t>Lista desplegable. Vacía si no cambió.</t>
  </si>
  <si>
    <t>Fecha</t>
  </si>
  <si>
    <t>dd/mm/aaaa</t>
  </si>
  <si>
    <t>Día en que la corrigió en el sistema.</t>
  </si>
  <si>
    <t>Responsable</t>
  </si>
  <si>
    <t>Nombre de quien la corrigió</t>
  </si>
  <si>
    <t>Observaciones</t>
  </si>
  <si>
    <t>Con quién confirmó, dudas, etc.</t>
  </si>
  <si>
    <t>Ejemplo de una fila bien llenada (solo de muestra)</t>
  </si>
  <si>
    <t>Corregido</t>
  </si>
  <si>
    <t>Carrera 10 # 4-20 Sur</t>
  </si>
  <si>
    <t>(vacía: la ciudad no cambió)</t>
  </si>
  <si>
    <t>Nombre del encargado</t>
  </si>
  <si>
    <t>Confirmado por teléfono con la administración: faltaba el Sur.</t>
  </si>
  <si>
    <t>Cómo escribir la dirección</t>
  </si>
  <si>
    <t>Vía, número, #, placa con guion</t>
  </si>
  <si>
    <t>Calle 34A # 38-161</t>
  </si>
  <si>
    <t>Bien</t>
  </si>
  <si>
    <t>Sur y Este al final, cuando apliquen</t>
  </si>
  <si>
    <t>Carrera 69D # 1-51 Sur</t>
  </si>
  <si>
    <t>Sin «la», «en la» ni textos antes de la vía</t>
  </si>
  <si>
    <t>En la Calle 48 sur…</t>
  </si>
  <si>
    <t>Mal</t>
  </si>
  <si>
    <t>Una sola dirección: la de la portería principal</t>
  </si>
  <si>
    <t>TV 60 # 106-25 / CR 65…</t>
  </si>
  <si>
    <t>Sin torre, interior, barrio ni etapa</t>
  </si>
  <si>
    <t>… Interior 1 Sector Urapanes</t>
  </si>
  <si>
    <t>El municipio va en el campo Ciudad, no en la dirección</t>
  </si>
  <si>
    <t>CALLE 10 10-60 FUNZA</t>
  </si>
  <si>
    <t>25 conjuntos activos. Confirme la dirección con la administración, corríjala en el sistema (Clientes → Editar cliente) y llene las columnas amarillas. Instrucciones en la hoja «Instrucciones».</t>
  </si>
  <si>
    <t>#</t>
  </si>
  <si>
    <t>Grupo</t>
  </si>
  <si>
    <t>Problema</t>
  </si>
  <si>
    <t>Conjunto</t>
  </si>
  <si>
    <t>Ciudad en el sistema</t>
  </si>
  <si>
    <t>Dirección registrada</t>
  </si>
  <si>
    <t>Lo que encontró Google</t>
  </si>
  <si>
    <t>Qué confirmar</t>
  </si>
  <si>
    <t>Mapa: dirección registrada</t>
  </si>
  <si>
    <t>Mapa: punto de Google</t>
  </si>
  <si>
    <t>Por confirmar</t>
  </si>
  <si>
    <t>Dos direcciones posibles</t>
  </si>
  <si>
    <t>Centro Comercial Ciudad Montes - P.H.</t>
  </si>
  <si>
    <t>Bogotá</t>
  </si>
  <si>
    <t>CALLE 11 SUR 31-39</t>
  </si>
  <si>
    <t>Calle 1D # 40A-03 (el centro comercial)</t>
  </si>
  <si>
    <t>¿La dirección de la copropiedad es la de la administración (Calle 11 Sur # 31-39) o la del centro comercial? Quedan a 2,4 km. Registre la de la entrada principal.</t>
  </si>
  <si>
    <t>Ver en mapa</t>
  </si>
  <si>
    <t>Pendiente</t>
  </si>
  <si>
    <t>Conjunto Residencial Juliana - P.H.</t>
  </si>
  <si>
    <t>LA CARRERA 10 #4-20</t>
  </si>
  <si>
    <t>Carrera 10 # 4-20, pero en otro punto a 1,1 km hacia el sur</t>
  </si>
  <si>
    <t>¿A la dirección le falta el Sur? El punto que Google asocia al conjunto está al sur del que da la dirección. Si es así, escriba “Carrera 10 # 4-20 Sur”.</t>
  </si>
  <si>
    <t>Edificio Veraguas Central - P.H.</t>
  </si>
  <si>
    <t>CARRERA 34 5-39/47</t>
  </si>
  <si>
    <t>Calle 5 # 25A-09 (Antonio Nariño)</t>
  </si>
  <si>
    <t>¿Es Carrera 34 # 5-39 (Puente Aranda) o Calle 5 # 25A-09? Quedan a 1,2 km. Registre una sola placa, sin el “/47”.</t>
  </si>
  <si>
    <t>Conjunto Residencial Punta del Este - P.H.</t>
  </si>
  <si>
    <t>Carrera 64 No. 23 A- 49</t>
  </si>
  <si>
    <t>Calle 13 Sur # 14-61 Este (San Cristóbal)</t>
  </si>
  <si>
    <t>¿Es un conjunto distinto de Punta del Este Etapa 1 y 2, que queda en San Cristóbal? Si es el mismo, use Calle 13 Sur # 14-61 Este. Si es otro, confirme la dirección de Carrera 64.</t>
  </si>
  <si>
    <t>Conjunto Residencial Vigía del Parque 2 - P.H.</t>
  </si>
  <si>
    <t>Calle 43ª Sur No. 72C-50 Interior 1 Sector Urapanes</t>
  </si>
  <si>
    <t>Calle 43A Sur # 72G-20</t>
  </si>
  <si>
    <t>¿La placa es 72C-50 o 72G-20? Escriba solo la dirección de la portería, sin “Interior 1 Sector Urapanes”.</t>
  </si>
  <si>
    <t>—</t>
  </si>
  <si>
    <t>Edificio Mirador de San Cristóbal - P.H.</t>
  </si>
  <si>
    <t>Carrera 10ª Este No. 17ª – 67 Sur</t>
  </si>
  <si>
    <t>Carrera 5 Este # 13 Sur-84</t>
  </si>
  <si>
    <t>Google no reconoce la dirección registrada y encuentra el edificio en Carrera 5 Este # 13 Sur-84. ¿Cuál es la correcta?</t>
  </si>
  <si>
    <t>Conjunto Residencial Portal de las Sierras - P.H.</t>
  </si>
  <si>
    <t>CALLE 65 SUR 1B-51 ESTE</t>
  </si>
  <si>
    <t>Carrera 11 # 65-70 Sur (Usme)</t>
  </si>
  <si>
    <t>Google no encuentra la dirección registrada y ubica el conjunto en Carrera 11 # 65-70 Sur. ¿Cuál es la correcta?</t>
  </si>
  <si>
    <t>Conjunto Residencial Celta Campestre - P.H.</t>
  </si>
  <si>
    <t>Funza</t>
  </si>
  <si>
    <t>Calle 7 # 10-60 (Funza)</t>
  </si>
  <si>
    <t>¿Es Calle 10 o Calle 7 # 10-60? Quite “FUNZA” de la dirección: el municipio ya está en el campo Ciudad.</t>
  </si>
  <si>
    <t>Unidad Residencial Casablanca 30 - 31 - P.H.</t>
  </si>
  <si>
    <t>CARRERA 79 47B-16 SUR</t>
  </si>
  <si>
    <t>No la encuentra</t>
  </si>
  <si>
    <t>Google no encuentra esta dirección. La vecina Casa Blanca 32 está en Carrera 79F # 46-16 Sur. ¿Esta será Carrera 79F # 47B-16 Sur?</t>
  </si>
  <si>
    <t>Conjunto Residencial Tierrabuena Etapa I - P.H.</t>
  </si>
  <si>
    <t>carrera 98 # 2 – 20</t>
  </si>
  <si>
    <t>“Tierra Buena del Porvenir Etapa 1”, Calle 34A Sur # 99A-45</t>
  </si>
  <si>
    <t>Google encontró un conjunto de nombre parecido a 537 m. ¿Es el mismo? Si lo es, ¿a la dirección registrada le falta el Sur?</t>
  </si>
  <si>
    <t>Sin ubicación</t>
  </si>
  <si>
    <t>Ubicado en el sitio equivocado</t>
  </si>
  <si>
    <t>Conjunto Residencial Recreo Reservado 1 - P.H.</t>
  </si>
  <si>
    <t>Cra. 102 No 69-51 Sur</t>
  </si>
  <si>
    <t>Google ignora el Sur y lo pone en Engativá, al norte. Confirme la dirección exacta. Si está bien escrita, avise para ubicarlo a mano.</t>
  </si>
  <si>
    <t>Google no la reconoce</t>
  </si>
  <si>
    <t>Agrupación de Lotes Urbanización Iconik 68 - P.H.</t>
  </si>
  <si>
    <t>AV CR 68 5 93</t>
  </si>
  <si>
    <t>Escríbala completa. ¿Es “Avenida Carrera 68 # 5-93”? Google la confunde con Avenida 68 # 68B-05.</t>
  </si>
  <si>
    <t>Conjunto Residencial Entrenubes Primera Etapa - P.H.</t>
  </si>
  <si>
    <t>En la Calle 48 sur # 4 – 90 este</t>
  </si>
  <si>
    <t>Google no encuentra “Calle 48 Sur # 4-90 Este”. Confirme la placa con la administración.</t>
  </si>
  <si>
    <t>Mal escrita</t>
  </si>
  <si>
    <t>Conjunto Residencial Madelena Manzana 45 Edificio II - P.H.</t>
  </si>
  <si>
    <t>CALLE 62 B SUR 3 62 44</t>
  </si>
  <si>
    <t>La dirección está incompleta o mezclada. Debe quedar como “Calle 62B Sur # [número]-[placa]”.</t>
  </si>
  <si>
    <t>Agrupación de Vivienda Tekoa Etapa V - P.H.</t>
  </si>
  <si>
    <t>Calle 52 Sur No 95 b – 10</t>
  </si>
  <si>
    <t>Google solo encuentra Calle 52 Sur # 95A-22. ¿La placa es 95B-10?</t>
  </si>
  <si>
    <t>Conjunto Residencial Casa Grande Manzana 3 Etapa 1 y 2 - P.H.</t>
  </si>
  <si>
    <t>En la Transversal 63 # 68B - 12 Sur</t>
  </si>
  <si>
    <t>Google solo encuentra Transversal 63 # 68F-27. ¿La placa es 68B-12 Sur?</t>
  </si>
  <si>
    <t>Conjunto Residencial Manzana 52 El Porvenir - P.H.</t>
  </si>
  <si>
    <t>Carrera 95 a # 54 F - 02 sur</t>
  </si>
  <si>
    <t>Google solo encuentra Carrera 95A # 54 Sur-41. ¿La placa es 54F-02 Sur?</t>
  </si>
  <si>
    <t>Conjunto Residencial Villa Verde - P.H.</t>
  </si>
  <si>
    <t>Transversal 2 # 18 A 30 Sur</t>
  </si>
  <si>
    <t>Google no reconoce la dirección, y hay muchos conjuntos “Villa Verde” en Bogotá. Confirme la dirección exacta.</t>
  </si>
  <si>
    <t>Conjunto Residencial Casas de Santafé - P.H.</t>
  </si>
  <si>
    <t>CRA 36 A # 54 A 27 SUR</t>
  </si>
  <si>
    <t>Google no reconoce la dirección. Confirme si es “Carrera 36A # 54A-27 Sur”.</t>
  </si>
  <si>
    <t>Dos direcciones</t>
  </si>
  <si>
    <t>Unidad Residencial Avenida Suba URAS - P.H.</t>
  </si>
  <si>
    <t>TV 60 No. 106-25 / CR 65 No. 103-87/81</t>
  </si>
  <si>
    <t>Deje una sola: la de la portería principal.</t>
  </si>
  <si>
    <t>No es una dirección</t>
  </si>
  <si>
    <t>Conjunto Residencial Callejón de Santa Bárbara Real - P.H.</t>
  </si>
  <si>
    <t>CADA CASA TIENE SU DIRECCION</t>
  </si>
  <si>
    <t>Escriba la dirección de la portería o de la administración del conjunto.</t>
  </si>
  <si>
    <t>Falta calle y número</t>
  </si>
  <si>
    <t>Conjunto Cerrado Los Buganviles - P.H.</t>
  </si>
  <si>
    <t>Carmen de Apicalá</t>
  </si>
  <si>
    <t>CARMEN DE APICALA BARRIO SAN JUAN LOZANO</t>
  </si>
  <si>
    <t>Solo tiene municipio y barrio. Pida la calle y el número, o la vía y el kilómetro si es rural.</t>
  </si>
  <si>
    <t>Sin dirección</t>
  </si>
  <si>
    <t>Agrupación de Vivienda Familiar 6 Madelena Sector IV - P.H.</t>
  </si>
  <si>
    <t>No tiene dirección y Google no lo encuentra por el nombre. Pida la dirección a la administración.</t>
  </si>
  <si>
    <t>Conjunto Mazuren Sector II Agrupación 3 - P.H.</t>
  </si>
  <si>
    <t>Conjunto Residencial El Bosque La Felicidad - P.H.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</si>
</sst>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1"/>
      <color theme="1"/>
      <name val="Calibri"/>
      <family val="2"/>
      <scheme val="minor"/>
    </font>
    <font>
      <b/>
      <sz val="16"/>
      <color rgb="FF0D5F7A"/>
      <name val="Arial"/>
    </font>
    <font>
      <i/>
      <sz val="10"/>
      <color rgb="FF5A6A72"/>
      <name val="Arial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  <font>
      <b/>
      <sz val="12"/>
      <color rgb="FF0D5F7A"/>
      <name val="Arial"/>
    </font>
    <font>
      <b/>
      <sz val="10"/>
      <name val="Arial"/>
    </font>
    <font>
      <b/>
      <sz val="10"/>
      <color rgb="FF006100"/>
      <name val="Arial"/>
    </font>
    <font>
      <b/>
      <sz val="10"/>
      <color rgb="FF9C0006"/>
      <name val="Arial"/>
    </font>
  </fonts>
  <fills count="7">
    <fill>
      <patternFill patternType="none"/>
    </fill>
    <fill>
      <patternFill patternType="gray125"/>
    </fill>
    <fill>
      <patternFill patternType="solid">
        <fgColor rgb="FF0D5F7A"/>
      </patternFill>
    </fill>
    <fill>
      <patternFill patternType="solid">
        <fgColor rgb="FFB7791F"/>
      </patternFill>
    </fill>
    <fill>
      <patternFill patternType="solid">
        <fgColor rgb="FFE3EFF3"/>
      </patternFill>
    </fill>
    <fill>
      <patternFill patternType="solid">
        <fgColor rgb="FFFFF4C2"/>
      </patternFill>
    </fill>
    <fill>
      <patternFill patternType="solid">
        <fgColor rgb="FFFBF0DC"/>
      </patternFill>
    </fill>
  </fills>
  <borders count="2">
    <border>
      <left/>
      <right/>
      <top/>
      <bottom/>
      <diagonal/>
    </border>
    <border>
      <left style="thin">
        <color rgb="FFD8E0DD"/>
      </left>
      <right style="thin">
        <color rgb="FFD8E0DD"/>
      </right>
      <top style="thin">
        <color rgb="FFD8E0DD"/>
      </top>
      <bottom style="thin">
        <color rgb="FFD8E0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" fontId="7" fillId="0" borderId="0" xfId="0" applyNumberFormat="1" applyFont="1" applyAlignment="1">
      <alignment horizontal="left"/>
    </xf>
    <xf numFmtId="9" fontId="7" fillId="0" borderId="0" xfId="0" applyNumberFormat="1" applyFont="1" applyAlignment="1">
      <alignment horizontal="left"/>
    </xf>
    <xf numFmtId="0" fontId="7" fillId="5" borderId="0" xfId="0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4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4" fillId="6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2"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?q=4.56996,-74.076103" TargetMode="External"/><Relationship Id="rId13" Type="http://schemas.openxmlformats.org/officeDocument/2006/relationships/hyperlink" Target="https://www.google.com/maps?q=4.6510845,-74.1687806" TargetMode="External"/><Relationship Id="rId3" Type="http://schemas.openxmlformats.org/officeDocument/2006/relationships/hyperlink" Target="https://www.google.com/maps?q=4.5934754,-74.0823742" TargetMode="External"/><Relationship Id="rId7" Type="http://schemas.openxmlformats.org/officeDocument/2006/relationships/hyperlink" Target="https://www.google.com/maps?q=4.6463287,-74.1047258" TargetMode="External"/><Relationship Id="rId12" Type="http://schemas.openxmlformats.org/officeDocument/2006/relationships/hyperlink" Target="https://www.google.com/maps?q=4.7112727,-74.2158675" TargetMode="External"/><Relationship Id="rId2" Type="http://schemas.openxmlformats.org/officeDocument/2006/relationships/hyperlink" Target="https://www.google.com/maps?q=4.5985304,-74.1093197" TargetMode="External"/><Relationship Id="rId1" Type="http://schemas.openxmlformats.org/officeDocument/2006/relationships/hyperlink" Target="https://www.google.com/maps?q=4.5842676,-74.0933499" TargetMode="External"/><Relationship Id="rId6" Type="http://schemas.openxmlformats.org/officeDocument/2006/relationships/hyperlink" Target="https://www.google.com/maps?q=4.6014566,-74.095346" TargetMode="External"/><Relationship Id="rId11" Type="http://schemas.openxmlformats.org/officeDocument/2006/relationships/hyperlink" Target="https://www.google.com/maps?q=4.5340558,-74.1173629" TargetMode="External"/><Relationship Id="rId5" Type="http://schemas.openxmlformats.org/officeDocument/2006/relationships/hyperlink" Target="https://www.google.com/maps?q=4.6088574,-74.1029816" TargetMode="External"/><Relationship Id="rId10" Type="http://schemas.openxmlformats.org/officeDocument/2006/relationships/hyperlink" Target="https://www.google.com/maps?q=4.570976,-74.0814472" TargetMode="External"/><Relationship Id="rId4" Type="http://schemas.openxmlformats.org/officeDocument/2006/relationships/hyperlink" Target="https://www.google.com/maps?q=4.5848069,-74.0875493" TargetMode="External"/><Relationship Id="rId9" Type="http://schemas.openxmlformats.org/officeDocument/2006/relationships/hyperlink" Target="https://www.google.com/maps?q=4.602398,-74.1471829" TargetMode="External"/><Relationship Id="rId14" Type="http://schemas.openxmlformats.org/officeDocument/2006/relationships/hyperlink" Target="https://www.google.com/maps?q=4.6515264,-74.1736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showGridLines="0" topLeftCell="A31" workbookViewId="0"/>
  </sheetViews>
  <sheetFormatPr baseColWidth="10" defaultColWidth="8.7265625" defaultRowHeight="14.5" x14ac:dyDescent="0.35"/>
  <cols>
    <col min="1" max="1" width="30" customWidth="1"/>
    <col min="2" max="2" width="34" customWidth="1"/>
    <col min="3" max="3" width="60" customWidth="1"/>
  </cols>
  <sheetData>
    <row r="1" spans="1:3" ht="80" x14ac:dyDescent="0.35">
      <c r="A1" s="1" t="s">
        <v>0</v>
      </c>
    </row>
    <row r="2" spans="1:3" ht="52" x14ac:dyDescent="0.35">
      <c r="A2" s="2" t="s">
        <v>1</v>
      </c>
    </row>
    <row r="4" spans="1:3" ht="15.5" x14ac:dyDescent="0.35">
      <c r="A4" s="3" t="s">
        <v>2</v>
      </c>
    </row>
    <row r="5" spans="1:3" x14ac:dyDescent="0.35">
      <c r="A5" s="4" t="s">
        <v>3</v>
      </c>
      <c r="B5" s="5">
        <f>COUNTA(Direcciones!$D$5:$D$29)</f>
        <v>25</v>
      </c>
    </row>
    <row r="6" spans="1:3" x14ac:dyDescent="0.35">
      <c r="A6" s="4" t="s">
        <v>4</v>
      </c>
      <c r="B6" s="5">
        <f>COUNTIF(Direcciones!$K$5:$K$29,"Corregido")</f>
        <v>0</v>
      </c>
    </row>
    <row r="7" spans="1:3" x14ac:dyDescent="0.35">
      <c r="A7" s="4" t="s">
        <v>5</v>
      </c>
      <c r="B7" s="5">
        <f>COUNTIF(Direcciones!$K$5:$K$29,"No se pudo")</f>
        <v>0</v>
      </c>
    </row>
    <row r="8" spans="1:3" x14ac:dyDescent="0.35">
      <c r="A8" s="4" t="s">
        <v>6</v>
      </c>
      <c r="B8" s="5">
        <f>COUNTIF(Direcciones!$K$5:$K$29,"Pendiente")</f>
        <v>25</v>
      </c>
    </row>
    <row r="9" spans="1:3" x14ac:dyDescent="0.35">
      <c r="A9" s="4" t="s">
        <v>2</v>
      </c>
      <c r="B9" s="6">
        <f>IF(B5=0,0,B6/B5)</f>
        <v>0</v>
      </c>
    </row>
    <row r="10" spans="1:3" x14ac:dyDescent="0.35">
      <c r="A10" s="4" t="s">
        <v>7</v>
      </c>
      <c r="B10" s="5">
        <f>COUNTIFS(Direcciones!$B$5:$B$29,"Por confirmar",Direcciones!$K$5:$K$29,"Pendiente")</f>
        <v>10</v>
      </c>
    </row>
    <row r="11" spans="1:3" x14ac:dyDescent="0.35">
      <c r="A11" s="4" t="s">
        <v>8</v>
      </c>
      <c r="B11" s="5">
        <f>COUNTIFS(Direcciones!$B$5:$B$29,"Sin ubicación",Direcciones!$K$5:$K$29,"Pendiente")</f>
        <v>15</v>
      </c>
    </row>
    <row r="13" spans="1:3" ht="15.5" x14ac:dyDescent="0.35">
      <c r="A13" s="3" t="s">
        <v>9</v>
      </c>
    </row>
    <row r="14" spans="1:3" ht="28" customHeight="1" x14ac:dyDescent="0.35">
      <c r="A14" s="21" t="s">
        <v>10</v>
      </c>
      <c r="B14" s="22"/>
      <c r="C14" s="22"/>
    </row>
    <row r="15" spans="1:3" ht="28" customHeight="1" x14ac:dyDescent="0.35">
      <c r="A15" s="21" t="s">
        <v>11</v>
      </c>
      <c r="B15" s="22"/>
      <c r="C15" s="22"/>
    </row>
    <row r="16" spans="1:3" ht="28" customHeight="1" x14ac:dyDescent="0.35">
      <c r="A16" s="21" t="s">
        <v>12</v>
      </c>
      <c r="B16" s="22"/>
      <c r="C16" s="22"/>
    </row>
    <row r="17" spans="1:3" ht="28" customHeight="1" x14ac:dyDescent="0.35">
      <c r="A17" s="21" t="s">
        <v>13</v>
      </c>
      <c r="B17" s="22"/>
      <c r="C17" s="22"/>
    </row>
    <row r="18" spans="1:3" ht="28" customHeight="1" x14ac:dyDescent="0.35">
      <c r="A18" s="21" t="s">
        <v>14</v>
      </c>
      <c r="B18" s="22"/>
      <c r="C18" s="22"/>
    </row>
    <row r="20" spans="1:3" ht="31" x14ac:dyDescent="0.35">
      <c r="A20" s="3" t="s">
        <v>15</v>
      </c>
    </row>
    <row r="21" spans="1:3" x14ac:dyDescent="0.35">
      <c r="A21" s="7" t="s">
        <v>16</v>
      </c>
      <c r="B21" s="4" t="s">
        <v>17</v>
      </c>
      <c r="C21" s="4" t="s">
        <v>18</v>
      </c>
    </row>
    <row r="22" spans="1:3" ht="25" x14ac:dyDescent="0.35">
      <c r="A22" s="7" t="s">
        <v>19</v>
      </c>
      <c r="B22" s="4" t="s">
        <v>20</v>
      </c>
      <c r="C22" s="4" t="s">
        <v>21</v>
      </c>
    </row>
    <row r="23" spans="1:3" x14ac:dyDescent="0.35">
      <c r="A23" s="7" t="s">
        <v>22</v>
      </c>
      <c r="B23" s="4" t="s">
        <v>23</v>
      </c>
      <c r="C23" s="4" t="s">
        <v>24</v>
      </c>
    </row>
    <row r="24" spans="1:3" x14ac:dyDescent="0.35">
      <c r="A24" s="7" t="s">
        <v>25</v>
      </c>
      <c r="B24" s="4" t="s">
        <v>26</v>
      </c>
      <c r="C24" s="4" t="s">
        <v>27</v>
      </c>
    </row>
    <row r="25" spans="1:3" x14ac:dyDescent="0.35">
      <c r="A25" s="7" t="s">
        <v>28</v>
      </c>
      <c r="B25" s="4" t="s">
        <v>29</v>
      </c>
      <c r="C25" s="4"/>
    </row>
    <row r="26" spans="1:3" x14ac:dyDescent="0.35">
      <c r="A26" s="7" t="s">
        <v>30</v>
      </c>
      <c r="B26" s="4" t="s">
        <v>31</v>
      </c>
      <c r="C26" s="4"/>
    </row>
    <row r="28" spans="1:3" ht="31" x14ac:dyDescent="0.35">
      <c r="A28" s="3" t="s">
        <v>32</v>
      </c>
    </row>
    <row r="29" spans="1:3" x14ac:dyDescent="0.35">
      <c r="A29" s="4" t="s">
        <v>16</v>
      </c>
      <c r="B29" s="2" t="s">
        <v>33</v>
      </c>
    </row>
    <row r="30" spans="1:3" x14ac:dyDescent="0.35">
      <c r="A30" s="4" t="s">
        <v>19</v>
      </c>
      <c r="B30" s="2" t="s">
        <v>34</v>
      </c>
    </row>
    <row r="31" spans="1:3" x14ac:dyDescent="0.35">
      <c r="A31" s="4" t="s">
        <v>22</v>
      </c>
      <c r="B31" s="2" t="s">
        <v>35</v>
      </c>
    </row>
    <row r="32" spans="1:3" x14ac:dyDescent="0.35">
      <c r="A32" s="4" t="s">
        <v>25</v>
      </c>
      <c r="B32" s="8">
        <v>46297</v>
      </c>
    </row>
    <row r="33" spans="1:3" x14ac:dyDescent="0.35">
      <c r="A33" s="4" t="s">
        <v>28</v>
      </c>
      <c r="B33" s="2" t="s">
        <v>36</v>
      </c>
    </row>
    <row r="34" spans="1:3" ht="26" x14ac:dyDescent="0.35">
      <c r="A34" s="4" t="s">
        <v>30</v>
      </c>
      <c r="B34" s="2" t="s">
        <v>37</v>
      </c>
    </row>
    <row r="36" spans="1:3" ht="15.5" x14ac:dyDescent="0.35">
      <c r="A36" s="3" t="s">
        <v>38</v>
      </c>
    </row>
    <row r="37" spans="1:3" x14ac:dyDescent="0.35">
      <c r="A37" s="4" t="s">
        <v>39</v>
      </c>
      <c r="B37" s="4" t="s">
        <v>40</v>
      </c>
      <c r="C37" s="9" t="s">
        <v>41</v>
      </c>
    </row>
    <row r="38" spans="1:3" x14ac:dyDescent="0.35">
      <c r="A38" s="4" t="s">
        <v>42</v>
      </c>
      <c r="B38" s="4" t="s">
        <v>43</v>
      </c>
      <c r="C38" s="9" t="s">
        <v>41</v>
      </c>
    </row>
    <row r="39" spans="1:3" ht="25" x14ac:dyDescent="0.35">
      <c r="A39" s="4" t="s">
        <v>44</v>
      </c>
      <c r="B39" s="4" t="s">
        <v>45</v>
      </c>
      <c r="C39" s="10" t="s">
        <v>46</v>
      </c>
    </row>
    <row r="40" spans="1:3" ht="25" x14ac:dyDescent="0.35">
      <c r="A40" s="4" t="s">
        <v>47</v>
      </c>
      <c r="B40" s="4" t="s">
        <v>48</v>
      </c>
      <c r="C40" s="10" t="s">
        <v>46</v>
      </c>
    </row>
    <row r="41" spans="1:3" x14ac:dyDescent="0.35">
      <c r="A41" s="4" t="s">
        <v>49</v>
      </c>
      <c r="B41" s="4" t="s">
        <v>50</v>
      </c>
      <c r="C41" s="10" t="s">
        <v>46</v>
      </c>
    </row>
    <row r="42" spans="1:3" ht="25" x14ac:dyDescent="0.35">
      <c r="A42" s="4" t="s">
        <v>51</v>
      </c>
      <c r="B42" s="4" t="s">
        <v>52</v>
      </c>
      <c r="C42" s="10" t="s">
        <v>46</v>
      </c>
    </row>
  </sheetData>
  <mergeCells count="5"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abSelected="1" zoomScale="90" workbookViewId="0">
      <pane xSplit="4" ySplit="4" topLeftCell="I23" activePane="bottomRight" state="frozen"/>
      <selection pane="topRight"/>
      <selection pane="bottomLeft"/>
      <selection pane="bottomRight" activeCell="L1" sqref="L1:P1048576"/>
    </sheetView>
  </sheetViews>
  <sheetFormatPr baseColWidth="10" defaultColWidth="8.7265625" defaultRowHeight="14.5" x14ac:dyDescent="0.35"/>
  <cols>
    <col min="1" max="1" width="5" customWidth="1"/>
    <col min="2" max="2" width="14" customWidth="1"/>
    <col min="3" max="3" width="20" customWidth="1"/>
    <col min="4" max="4" width="38" customWidth="1"/>
    <col min="5" max="5" width="14" customWidth="1"/>
    <col min="6" max="7" width="30" customWidth="1"/>
    <col min="8" max="8" width="55" customWidth="1"/>
    <col min="9" max="10" width="13" customWidth="1"/>
    <col min="11" max="11" width="14" customWidth="1"/>
  </cols>
  <sheetData>
    <row r="1" spans="1:11" ht="20" x14ac:dyDescent="0.4">
      <c r="A1" s="11" t="s">
        <v>0</v>
      </c>
    </row>
    <row r="2" spans="1:11" x14ac:dyDescent="0.35">
      <c r="A2" s="12" t="s">
        <v>53</v>
      </c>
    </row>
    <row r="4" spans="1:11" ht="32" customHeight="1" x14ac:dyDescent="0.35">
      <c r="A4" s="13" t="s">
        <v>54</v>
      </c>
      <c r="B4" s="13" t="s">
        <v>55</v>
      </c>
      <c r="C4" s="13" t="s">
        <v>56</v>
      </c>
      <c r="D4" s="13" t="s">
        <v>57</v>
      </c>
      <c r="E4" s="13" t="s">
        <v>58</v>
      </c>
      <c r="F4" s="13" t="s">
        <v>59</v>
      </c>
      <c r="G4" s="13" t="s">
        <v>60</v>
      </c>
      <c r="H4" s="13" t="s">
        <v>61</v>
      </c>
      <c r="I4" s="13" t="s">
        <v>62</v>
      </c>
      <c r="J4" s="13" t="s">
        <v>63</v>
      </c>
      <c r="K4" s="14" t="s">
        <v>16</v>
      </c>
    </row>
    <row r="5" spans="1:11" ht="60" customHeight="1" x14ac:dyDescent="0.35">
      <c r="A5" s="15">
        <v>1</v>
      </c>
      <c r="B5" s="16" t="s">
        <v>64</v>
      </c>
      <c r="C5" s="15" t="s">
        <v>65</v>
      </c>
      <c r="D5" s="15" t="s">
        <v>66</v>
      </c>
      <c r="E5" s="15" t="s">
        <v>67</v>
      </c>
      <c r="F5" s="15" t="s">
        <v>68</v>
      </c>
      <c r="G5" s="15" t="s">
        <v>69</v>
      </c>
      <c r="H5" s="15" t="s">
        <v>70</v>
      </c>
      <c r="I5" s="17" t="s">
        <v>71</v>
      </c>
      <c r="J5" s="17" t="s">
        <v>71</v>
      </c>
      <c r="K5" s="18" t="s">
        <v>72</v>
      </c>
    </row>
    <row r="6" spans="1:11" ht="60" customHeight="1" x14ac:dyDescent="0.35">
      <c r="A6" s="15">
        <v>2</v>
      </c>
      <c r="B6" s="16" t="s">
        <v>64</v>
      </c>
      <c r="C6" s="15" t="s">
        <v>65</v>
      </c>
      <c r="D6" s="15" t="s">
        <v>73</v>
      </c>
      <c r="E6" s="15" t="s">
        <v>67</v>
      </c>
      <c r="F6" s="15" t="s">
        <v>74</v>
      </c>
      <c r="G6" s="15" t="s">
        <v>75</v>
      </c>
      <c r="H6" s="15" t="s">
        <v>76</v>
      </c>
      <c r="I6" s="17" t="s">
        <v>71</v>
      </c>
      <c r="J6" s="17" t="s">
        <v>71</v>
      </c>
      <c r="K6" s="18" t="s">
        <v>72</v>
      </c>
    </row>
    <row r="7" spans="1:11" ht="60" customHeight="1" x14ac:dyDescent="0.35">
      <c r="A7" s="15">
        <v>3</v>
      </c>
      <c r="B7" s="16" t="s">
        <v>64</v>
      </c>
      <c r="C7" s="15" t="s">
        <v>65</v>
      </c>
      <c r="D7" s="15" t="s">
        <v>77</v>
      </c>
      <c r="E7" s="15" t="s">
        <v>67</v>
      </c>
      <c r="F7" s="15" t="s">
        <v>78</v>
      </c>
      <c r="G7" s="15" t="s">
        <v>79</v>
      </c>
      <c r="H7" s="15" t="s">
        <v>80</v>
      </c>
      <c r="I7" s="17" t="s">
        <v>71</v>
      </c>
      <c r="J7" s="17" t="s">
        <v>71</v>
      </c>
      <c r="K7" s="18" t="s">
        <v>72</v>
      </c>
    </row>
    <row r="8" spans="1:11" ht="60" customHeight="1" x14ac:dyDescent="0.35">
      <c r="A8" s="15">
        <v>4</v>
      </c>
      <c r="B8" s="16" t="s">
        <v>64</v>
      </c>
      <c r="C8" s="15" t="s">
        <v>65</v>
      </c>
      <c r="D8" s="15" t="s">
        <v>81</v>
      </c>
      <c r="E8" s="15" t="s">
        <v>67</v>
      </c>
      <c r="F8" s="15" t="s">
        <v>82</v>
      </c>
      <c r="G8" s="15" t="s">
        <v>83</v>
      </c>
      <c r="H8" s="15" t="s">
        <v>84</v>
      </c>
      <c r="I8" s="17" t="s">
        <v>71</v>
      </c>
      <c r="J8" s="17" t="s">
        <v>71</v>
      </c>
      <c r="K8" s="18" t="s">
        <v>72</v>
      </c>
    </row>
    <row r="9" spans="1:11" ht="60" customHeight="1" x14ac:dyDescent="0.35">
      <c r="A9" s="15">
        <v>5</v>
      </c>
      <c r="B9" s="16" t="s">
        <v>64</v>
      </c>
      <c r="C9" s="15" t="s">
        <v>65</v>
      </c>
      <c r="D9" s="15" t="s">
        <v>85</v>
      </c>
      <c r="E9" s="15" t="s">
        <v>67</v>
      </c>
      <c r="F9" s="15" t="s">
        <v>86</v>
      </c>
      <c r="G9" s="15" t="s">
        <v>87</v>
      </c>
      <c r="H9" s="15" t="s">
        <v>88</v>
      </c>
      <c r="I9" s="19" t="s">
        <v>89</v>
      </c>
      <c r="J9" s="17" t="s">
        <v>71</v>
      </c>
      <c r="K9" s="18" t="s">
        <v>72</v>
      </c>
    </row>
    <row r="10" spans="1:11" ht="60" customHeight="1" x14ac:dyDescent="0.35">
      <c r="A10" s="15">
        <v>6</v>
      </c>
      <c r="B10" s="16" t="s">
        <v>64</v>
      </c>
      <c r="C10" s="15" t="s">
        <v>65</v>
      </c>
      <c r="D10" s="15" t="s">
        <v>90</v>
      </c>
      <c r="E10" s="15" t="s">
        <v>67</v>
      </c>
      <c r="F10" s="15" t="s">
        <v>91</v>
      </c>
      <c r="G10" s="15" t="s">
        <v>92</v>
      </c>
      <c r="H10" s="15" t="s">
        <v>93</v>
      </c>
      <c r="I10" s="19" t="s">
        <v>89</v>
      </c>
      <c r="J10" s="17" t="s">
        <v>71</v>
      </c>
      <c r="K10" s="18" t="s">
        <v>72</v>
      </c>
    </row>
    <row r="11" spans="1:11" ht="60" customHeight="1" x14ac:dyDescent="0.35">
      <c r="A11" s="15">
        <v>7</v>
      </c>
      <c r="B11" s="16" t="s">
        <v>64</v>
      </c>
      <c r="C11" s="15" t="s">
        <v>65</v>
      </c>
      <c r="D11" s="15" t="s">
        <v>94</v>
      </c>
      <c r="E11" s="15" t="s">
        <v>67</v>
      </c>
      <c r="F11" s="15" t="s">
        <v>95</v>
      </c>
      <c r="G11" s="15" t="s">
        <v>96</v>
      </c>
      <c r="H11" s="15" t="s">
        <v>97</v>
      </c>
      <c r="I11" s="19" t="s">
        <v>89</v>
      </c>
      <c r="J11" s="17" t="s">
        <v>71</v>
      </c>
      <c r="K11" s="18" t="s">
        <v>72</v>
      </c>
    </row>
    <row r="12" spans="1:11" ht="60" customHeight="1" x14ac:dyDescent="0.35">
      <c r="A12" s="15">
        <v>8</v>
      </c>
      <c r="B12" s="16" t="s">
        <v>64</v>
      </c>
      <c r="C12" s="15" t="s">
        <v>65</v>
      </c>
      <c r="D12" s="15" t="s">
        <v>98</v>
      </c>
      <c r="E12" s="15" t="s">
        <v>99</v>
      </c>
      <c r="F12" s="15" t="s">
        <v>52</v>
      </c>
      <c r="G12" s="15" t="s">
        <v>100</v>
      </c>
      <c r="H12" s="15" t="s">
        <v>101</v>
      </c>
      <c r="I12" s="19" t="s">
        <v>89</v>
      </c>
      <c r="J12" s="17" t="s">
        <v>71</v>
      </c>
      <c r="K12" s="18" t="s">
        <v>72</v>
      </c>
    </row>
    <row r="13" spans="1:11" ht="60" customHeight="1" x14ac:dyDescent="0.35">
      <c r="A13" s="15">
        <v>9</v>
      </c>
      <c r="B13" s="16" t="s">
        <v>64</v>
      </c>
      <c r="C13" s="15" t="s">
        <v>65</v>
      </c>
      <c r="D13" s="15" t="s">
        <v>102</v>
      </c>
      <c r="E13" s="15" t="s">
        <v>67</v>
      </c>
      <c r="F13" s="15" t="s">
        <v>103</v>
      </c>
      <c r="G13" s="15" t="s">
        <v>104</v>
      </c>
      <c r="H13" s="15" t="s">
        <v>105</v>
      </c>
      <c r="I13" s="19" t="s">
        <v>89</v>
      </c>
      <c r="J13" s="19" t="s">
        <v>89</v>
      </c>
      <c r="K13" s="18" t="s">
        <v>72</v>
      </c>
    </row>
    <row r="14" spans="1:11" ht="60" customHeight="1" x14ac:dyDescent="0.35">
      <c r="A14" s="15">
        <v>10</v>
      </c>
      <c r="B14" s="16" t="s">
        <v>64</v>
      </c>
      <c r="C14" s="15" t="s">
        <v>65</v>
      </c>
      <c r="D14" s="15" t="s">
        <v>106</v>
      </c>
      <c r="E14" s="15" t="s">
        <v>67</v>
      </c>
      <c r="F14" s="15" t="s">
        <v>107</v>
      </c>
      <c r="G14" s="15" t="s">
        <v>108</v>
      </c>
      <c r="H14" s="15" t="s">
        <v>109</v>
      </c>
      <c r="I14" s="17" t="s">
        <v>71</v>
      </c>
      <c r="J14" s="17" t="s">
        <v>71</v>
      </c>
      <c r="K14" s="18" t="s">
        <v>72</v>
      </c>
    </row>
    <row r="15" spans="1:11" ht="60" customHeight="1" x14ac:dyDescent="0.35">
      <c r="A15" s="15">
        <v>11</v>
      </c>
      <c r="B15" s="20" t="s">
        <v>110</v>
      </c>
      <c r="C15" s="15" t="s">
        <v>111</v>
      </c>
      <c r="D15" s="15" t="s">
        <v>112</v>
      </c>
      <c r="E15" s="15" t="s">
        <v>67</v>
      </c>
      <c r="F15" s="15" t="s">
        <v>113</v>
      </c>
      <c r="G15" s="15" t="s">
        <v>89</v>
      </c>
      <c r="H15" s="15" t="s">
        <v>114</v>
      </c>
      <c r="I15" s="19" t="s">
        <v>89</v>
      </c>
      <c r="J15" s="19" t="s">
        <v>89</v>
      </c>
      <c r="K15" s="18" t="s">
        <v>72</v>
      </c>
    </row>
    <row r="16" spans="1:11" ht="60" customHeight="1" x14ac:dyDescent="0.35">
      <c r="A16" s="15">
        <v>12</v>
      </c>
      <c r="B16" s="20" t="s">
        <v>110</v>
      </c>
      <c r="C16" s="15" t="s">
        <v>115</v>
      </c>
      <c r="D16" s="15" t="s">
        <v>116</v>
      </c>
      <c r="E16" s="15" t="s">
        <v>67</v>
      </c>
      <c r="F16" s="15" t="s">
        <v>117</v>
      </c>
      <c r="G16" s="15" t="s">
        <v>89</v>
      </c>
      <c r="H16" s="15" t="s">
        <v>118</v>
      </c>
      <c r="I16" s="19" t="s">
        <v>89</v>
      </c>
      <c r="J16" s="19" t="s">
        <v>89</v>
      </c>
      <c r="K16" s="18" t="s">
        <v>72</v>
      </c>
    </row>
    <row r="17" spans="1:11" ht="60" customHeight="1" x14ac:dyDescent="0.35">
      <c r="A17" s="15">
        <v>13</v>
      </c>
      <c r="B17" s="20" t="s">
        <v>110</v>
      </c>
      <c r="C17" s="15" t="s">
        <v>115</v>
      </c>
      <c r="D17" s="15" t="s">
        <v>119</v>
      </c>
      <c r="E17" s="15" t="s">
        <v>67</v>
      </c>
      <c r="F17" s="15" t="s">
        <v>120</v>
      </c>
      <c r="G17" s="15" t="s">
        <v>89</v>
      </c>
      <c r="H17" s="15" t="s">
        <v>121</v>
      </c>
      <c r="I17" s="19" t="s">
        <v>89</v>
      </c>
      <c r="J17" s="19" t="s">
        <v>89</v>
      </c>
      <c r="K17" s="18" t="s">
        <v>72</v>
      </c>
    </row>
    <row r="18" spans="1:11" ht="60" customHeight="1" x14ac:dyDescent="0.35">
      <c r="A18" s="15">
        <v>14</v>
      </c>
      <c r="B18" s="20" t="s">
        <v>110</v>
      </c>
      <c r="C18" s="15" t="s">
        <v>122</v>
      </c>
      <c r="D18" s="15" t="s">
        <v>123</v>
      </c>
      <c r="E18" s="15" t="s">
        <v>67</v>
      </c>
      <c r="F18" s="15" t="s">
        <v>124</v>
      </c>
      <c r="G18" s="15" t="s">
        <v>89</v>
      </c>
      <c r="H18" s="15" t="s">
        <v>125</v>
      </c>
      <c r="I18" s="19" t="s">
        <v>89</v>
      </c>
      <c r="J18" s="19" t="s">
        <v>89</v>
      </c>
      <c r="K18" s="18" t="s">
        <v>72</v>
      </c>
    </row>
    <row r="19" spans="1:11" ht="60" customHeight="1" x14ac:dyDescent="0.35">
      <c r="A19" s="15">
        <v>15</v>
      </c>
      <c r="B19" s="20" t="s">
        <v>110</v>
      </c>
      <c r="C19" s="15" t="s">
        <v>115</v>
      </c>
      <c r="D19" s="15" t="s">
        <v>126</v>
      </c>
      <c r="E19" s="15" t="s">
        <v>67</v>
      </c>
      <c r="F19" s="15" t="s">
        <v>127</v>
      </c>
      <c r="G19" s="15" t="s">
        <v>89</v>
      </c>
      <c r="H19" s="15" t="s">
        <v>128</v>
      </c>
      <c r="I19" s="19" t="s">
        <v>89</v>
      </c>
      <c r="J19" s="19" t="s">
        <v>89</v>
      </c>
      <c r="K19" s="18" t="s">
        <v>72</v>
      </c>
    </row>
    <row r="20" spans="1:11" ht="60" customHeight="1" x14ac:dyDescent="0.35">
      <c r="A20" s="15">
        <v>16</v>
      </c>
      <c r="B20" s="20" t="s">
        <v>110</v>
      </c>
      <c r="C20" s="15" t="s">
        <v>115</v>
      </c>
      <c r="D20" s="15" t="s">
        <v>129</v>
      </c>
      <c r="E20" s="15" t="s">
        <v>67</v>
      </c>
      <c r="F20" s="15" t="s">
        <v>130</v>
      </c>
      <c r="G20" s="15" t="s">
        <v>89</v>
      </c>
      <c r="H20" s="15" t="s">
        <v>131</v>
      </c>
      <c r="I20" s="19" t="s">
        <v>89</v>
      </c>
      <c r="J20" s="19" t="s">
        <v>89</v>
      </c>
      <c r="K20" s="18" t="s">
        <v>72</v>
      </c>
    </row>
    <row r="21" spans="1:11" ht="60" customHeight="1" x14ac:dyDescent="0.35">
      <c r="A21" s="15">
        <v>17</v>
      </c>
      <c r="B21" s="20" t="s">
        <v>110</v>
      </c>
      <c r="C21" s="15" t="s">
        <v>115</v>
      </c>
      <c r="D21" s="15" t="s">
        <v>132</v>
      </c>
      <c r="E21" s="15" t="s">
        <v>67</v>
      </c>
      <c r="F21" s="15" t="s">
        <v>133</v>
      </c>
      <c r="G21" s="15" t="s">
        <v>89</v>
      </c>
      <c r="H21" s="15" t="s">
        <v>134</v>
      </c>
      <c r="I21" s="19" t="s">
        <v>89</v>
      </c>
      <c r="J21" s="19" t="s">
        <v>89</v>
      </c>
      <c r="K21" s="18" t="s">
        <v>72</v>
      </c>
    </row>
    <row r="22" spans="1:11" ht="60" customHeight="1" x14ac:dyDescent="0.35">
      <c r="A22" s="15">
        <v>18</v>
      </c>
      <c r="B22" s="20" t="s">
        <v>110</v>
      </c>
      <c r="C22" s="15" t="s">
        <v>115</v>
      </c>
      <c r="D22" s="15" t="s">
        <v>135</v>
      </c>
      <c r="E22" s="15" t="s">
        <v>67</v>
      </c>
      <c r="F22" s="15" t="s">
        <v>136</v>
      </c>
      <c r="G22" s="15" t="s">
        <v>89</v>
      </c>
      <c r="H22" s="15" t="s">
        <v>137</v>
      </c>
      <c r="I22" s="19" t="s">
        <v>89</v>
      </c>
      <c r="J22" s="19" t="s">
        <v>89</v>
      </c>
      <c r="K22" s="18" t="s">
        <v>72</v>
      </c>
    </row>
    <row r="23" spans="1:11" ht="60" customHeight="1" x14ac:dyDescent="0.35">
      <c r="A23" s="15">
        <v>19</v>
      </c>
      <c r="B23" s="20" t="s">
        <v>110</v>
      </c>
      <c r="C23" s="15" t="s">
        <v>115</v>
      </c>
      <c r="D23" s="15" t="s">
        <v>138</v>
      </c>
      <c r="E23" s="15" t="s">
        <v>67</v>
      </c>
      <c r="F23" s="15" t="s">
        <v>139</v>
      </c>
      <c r="G23" s="15" t="s">
        <v>89</v>
      </c>
      <c r="H23" s="15" t="s">
        <v>140</v>
      </c>
      <c r="I23" s="19" t="s">
        <v>89</v>
      </c>
      <c r="J23" s="19" t="s">
        <v>89</v>
      </c>
      <c r="K23" s="18" t="s">
        <v>72</v>
      </c>
    </row>
    <row r="24" spans="1:11" ht="60" customHeight="1" x14ac:dyDescent="0.35">
      <c r="A24" s="15">
        <v>20</v>
      </c>
      <c r="B24" s="20" t="s">
        <v>110</v>
      </c>
      <c r="C24" s="15" t="s">
        <v>141</v>
      </c>
      <c r="D24" s="15" t="s">
        <v>142</v>
      </c>
      <c r="E24" s="15" t="s">
        <v>67</v>
      </c>
      <c r="F24" s="15" t="s">
        <v>143</v>
      </c>
      <c r="G24" s="15" t="s">
        <v>89</v>
      </c>
      <c r="H24" s="15" t="s">
        <v>144</v>
      </c>
      <c r="I24" s="19" t="s">
        <v>89</v>
      </c>
      <c r="J24" s="19" t="s">
        <v>89</v>
      </c>
      <c r="K24" s="18" t="s">
        <v>72</v>
      </c>
    </row>
    <row r="25" spans="1:11" ht="60" customHeight="1" x14ac:dyDescent="0.35">
      <c r="A25" s="15">
        <v>21</v>
      </c>
      <c r="B25" s="20" t="s">
        <v>110</v>
      </c>
      <c r="C25" s="15" t="s">
        <v>145</v>
      </c>
      <c r="D25" s="15" t="s">
        <v>146</v>
      </c>
      <c r="E25" s="15" t="s">
        <v>67</v>
      </c>
      <c r="F25" s="15" t="s">
        <v>147</v>
      </c>
      <c r="G25" s="15" t="s">
        <v>89</v>
      </c>
      <c r="H25" s="15" t="s">
        <v>148</v>
      </c>
      <c r="I25" s="19" t="s">
        <v>89</v>
      </c>
      <c r="J25" s="19" t="s">
        <v>89</v>
      </c>
      <c r="K25" s="18" t="s">
        <v>72</v>
      </c>
    </row>
    <row r="26" spans="1:11" ht="60" customHeight="1" x14ac:dyDescent="0.35">
      <c r="A26" s="15">
        <v>22</v>
      </c>
      <c r="B26" s="20" t="s">
        <v>110</v>
      </c>
      <c r="C26" s="15" t="s">
        <v>149</v>
      </c>
      <c r="D26" s="15" t="s">
        <v>150</v>
      </c>
      <c r="E26" s="15" t="s">
        <v>151</v>
      </c>
      <c r="F26" s="15" t="s">
        <v>152</v>
      </c>
      <c r="G26" s="15" t="s">
        <v>89</v>
      </c>
      <c r="H26" s="15" t="s">
        <v>153</v>
      </c>
      <c r="I26" s="19" t="s">
        <v>89</v>
      </c>
      <c r="J26" s="19" t="s">
        <v>89</v>
      </c>
      <c r="K26" s="18" t="s">
        <v>72</v>
      </c>
    </row>
    <row r="27" spans="1:11" ht="60" customHeight="1" x14ac:dyDescent="0.35">
      <c r="A27" s="15">
        <v>23</v>
      </c>
      <c r="B27" s="20" t="s">
        <v>110</v>
      </c>
      <c r="C27" s="15" t="s">
        <v>154</v>
      </c>
      <c r="D27" s="15" t="s">
        <v>155</v>
      </c>
      <c r="E27" s="15" t="s">
        <v>67</v>
      </c>
      <c r="F27" s="15" t="s">
        <v>154</v>
      </c>
      <c r="G27" s="15" t="s">
        <v>89</v>
      </c>
      <c r="H27" s="15" t="s">
        <v>156</v>
      </c>
      <c r="I27" s="19" t="s">
        <v>89</v>
      </c>
      <c r="J27" s="19" t="s">
        <v>89</v>
      </c>
      <c r="K27" s="18" t="s">
        <v>72</v>
      </c>
    </row>
    <row r="28" spans="1:11" ht="60" customHeight="1" x14ac:dyDescent="0.35">
      <c r="A28" s="15">
        <v>24</v>
      </c>
      <c r="B28" s="20" t="s">
        <v>110</v>
      </c>
      <c r="C28" s="15" t="s">
        <v>154</v>
      </c>
      <c r="D28" s="15" t="s">
        <v>157</v>
      </c>
      <c r="E28" s="15" t="s">
        <v>67</v>
      </c>
      <c r="F28" s="15" t="s">
        <v>154</v>
      </c>
      <c r="G28" s="15" t="s">
        <v>89</v>
      </c>
      <c r="H28" s="15" t="s">
        <v>156</v>
      </c>
      <c r="I28" s="19" t="s">
        <v>89</v>
      </c>
      <c r="J28" s="19" t="s">
        <v>89</v>
      </c>
      <c r="K28" s="18" t="s">
        <v>72</v>
      </c>
    </row>
    <row r="29" spans="1:11" ht="60" customHeight="1" x14ac:dyDescent="0.35">
      <c r="A29" s="15">
        <v>25</v>
      </c>
      <c r="B29" s="20" t="s">
        <v>110</v>
      </c>
      <c r="C29" s="15" t="s">
        <v>154</v>
      </c>
      <c r="D29" s="15" t="s">
        <v>158</v>
      </c>
      <c r="E29" s="15" t="s">
        <v>67</v>
      </c>
      <c r="F29" s="15" t="s">
        <v>154</v>
      </c>
      <c r="G29" s="15" t="s">
        <v>89</v>
      </c>
      <c r="H29" s="15" t="s">
        <v>156</v>
      </c>
      <c r="I29" s="19" t="s">
        <v>89</v>
      </c>
      <c r="J29" s="19" t="s">
        <v>89</v>
      </c>
      <c r="K29" s="18" t="s">
        <v>72</v>
      </c>
    </row>
  </sheetData>
  <autoFilter ref="A4:K29" xr:uid="{00000000-0009-0000-0000-000001000000}"/>
  <conditionalFormatting sqref="K5:K29">
    <cfRule type="cellIs" dxfId="1" priority="1" operator="equal">
      <formula>"Corregido"</formula>
    </cfRule>
    <cfRule type="cellIs" dxfId="0" priority="2" operator="equal">
      <formula>"No se pudo"</formula>
    </cfRule>
  </conditionalFormatting>
  <dataValidations count="1">
    <dataValidation type="list" showErrorMessage="1" errorTitle="Estado" error="Elija Pendiente, Corregido o No se pudo." sqref="K5:K29" xr:uid="{00000000-0002-0000-0100-000000000000}">
      <formula1>"Pendiente,Corregido,No se pudo"</formula1>
    </dataValidation>
  </dataValidations>
  <hyperlinks>
    <hyperlink ref="I5" r:id="rId1" xr:uid="{00000000-0004-0000-0100-000000000000}"/>
    <hyperlink ref="J5" r:id="rId2" xr:uid="{00000000-0004-0000-0100-000001000000}"/>
    <hyperlink ref="I6" r:id="rId3" xr:uid="{00000000-0004-0000-0100-000002000000}"/>
    <hyperlink ref="J6" r:id="rId4" xr:uid="{00000000-0004-0000-0100-000003000000}"/>
    <hyperlink ref="I7" r:id="rId5" xr:uid="{00000000-0004-0000-0100-000004000000}"/>
    <hyperlink ref="J7" r:id="rId6" xr:uid="{00000000-0004-0000-0100-000005000000}"/>
    <hyperlink ref="I8" r:id="rId7" xr:uid="{00000000-0004-0000-0100-000006000000}"/>
    <hyperlink ref="J8" r:id="rId8" xr:uid="{00000000-0004-0000-0100-000007000000}"/>
    <hyperlink ref="J9" r:id="rId9" xr:uid="{00000000-0004-0000-0100-000008000000}"/>
    <hyperlink ref="J10" r:id="rId10" xr:uid="{00000000-0004-0000-0100-000009000000}"/>
    <hyperlink ref="J11" r:id="rId11" xr:uid="{00000000-0004-0000-0100-00000A000000}"/>
    <hyperlink ref="J12" r:id="rId12" xr:uid="{00000000-0004-0000-0100-00000B000000}"/>
    <hyperlink ref="I14" r:id="rId13" xr:uid="{00000000-0004-0000-0100-00000C000000}"/>
    <hyperlink ref="J14" r:id="rId14" xr:uid="{00000000-0004-0000-0100-00000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Direcciones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duque</cp:lastModifiedBy>
  <dcterms:created xsi:type="dcterms:W3CDTF">2026-09-30T14:10:11Z</dcterms:created>
  <dcterms:modified xsi:type="dcterms:W3CDTF">2026-09-30T14:38:40Z</dcterms:modified>
</cp:coreProperties>
</file>